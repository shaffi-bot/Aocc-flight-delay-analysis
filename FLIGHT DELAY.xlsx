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e1a752b81ad094/"/>
    </mc:Choice>
  </mc:AlternateContent>
  <xr:revisionPtr revIDLastSave="0" documentId="8_{83EB79D8-C178-6F41-BC4D-9645C2E1441D}" xr6:coauthVersionLast="47" xr6:coauthVersionMax="47" xr10:uidLastSave="{00000000-0000-0000-0000-000000000000}"/>
  <bookViews>
    <workbookView xWindow="-108" yWindow="-108" windowWidth="23256" windowHeight="12456" activeTab="1" xr2:uid="{165A43CE-BA8D-422B-B351-43F302598C70}"/>
  </bookViews>
  <sheets>
    <sheet name="MASTER" sheetId="2" r:id="rId1"/>
    <sheet name="RAW DATA" sheetId="1" r:id="rId2"/>
  </sheets>
  <definedNames>
    <definedName name="DelayReasons">MASTER!$A$2:$A$7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a="1"/>
  <c r="H3" i="1"/>
  <c r="G4" i="1"/>
  <c r="H4" i="1" a="1"/>
  <c r="H4" i="1"/>
  <c r="G5" i="1"/>
  <c r="H5" i="1" a="1"/>
  <c r="H5" i="1"/>
  <c r="G6" i="1"/>
  <c r="I6" i="1"/>
  <c r="G7" i="1"/>
  <c r="I7" i="1"/>
  <c r="G8" i="1"/>
  <c r="I8" i="1"/>
  <c r="G2" i="1"/>
  <c r="I2" i="1"/>
  <c r="I5" i="1"/>
  <c r="I4" i="1"/>
  <c r="I3" i="1"/>
  <c r="H8" i="1" a="1"/>
  <c r="H8" i="1"/>
  <c r="H7" i="1" a="1"/>
  <c r="H7" i="1"/>
  <c r="H6" i="1" a="1"/>
  <c r="H6" i="1"/>
  <c r="H2" i="1" a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<sst xmlns="http://schemas.openxmlformats.org/spreadsheetml/2006/main" count="44" uniqueCount="32">
  <si>
    <t>6E2011</t>
  </si>
  <si>
    <t>6E3054</t>
  </si>
  <si>
    <t>6E0414</t>
  </si>
  <si>
    <t>6E5422</t>
  </si>
  <si>
    <t>6E7633</t>
  </si>
  <si>
    <t>6E8056</t>
  </si>
  <si>
    <t>6E0978</t>
  </si>
  <si>
    <t>BLR</t>
  </si>
  <si>
    <t>DEL</t>
  </si>
  <si>
    <t>HYD</t>
  </si>
  <si>
    <t>BOM</t>
  </si>
  <si>
    <t>CCU</t>
  </si>
  <si>
    <t>TRV</t>
  </si>
  <si>
    <t>IXM</t>
  </si>
  <si>
    <t>A320</t>
  </si>
  <si>
    <t>A321</t>
  </si>
  <si>
    <t>Fog</t>
  </si>
  <si>
    <t>Weather</t>
  </si>
  <si>
    <t>DELAY CATEGORY</t>
  </si>
  <si>
    <t>SLA STATUS</t>
  </si>
  <si>
    <t>delay reason list</t>
  </si>
  <si>
    <t>ATC</t>
  </si>
  <si>
    <t>Late Incoming Aircraaft</t>
  </si>
  <si>
    <t>Technical</t>
  </si>
  <si>
    <t>Crew</t>
  </si>
  <si>
    <t>DELAY MINUTES</t>
  </si>
  <si>
    <t>DELAY REASON</t>
  </si>
  <si>
    <t>AIRCRAFT TYPE</t>
  </si>
  <si>
    <t>ATD</t>
  </si>
  <si>
    <t>STD</t>
  </si>
  <si>
    <t>DESTINATION</t>
  </si>
  <si>
    <t>FLIGHT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</si>
</sst>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hh:mm"/>
      <alignment horizontal="center" vertical="center" textRotation="0" wrapText="0" indent="0" justifyLastLine="0" shrinkToFit="0" readingOrder="0"/>
    </dxf>
    <dxf>
      <numFmt numFmtId="164" formatCode="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BFE0DE-EEBC-4A25-86DD-A1C47EFFC026}" name="Table2" displayName="Table2" ref="A1:I8" totalsRowShown="0" headerRowDxfId="16" dataDxfId="15">
  <autoFilter ref="A1:I8" xr:uid="{44BFE0DE-EEBC-4A25-86DD-A1C47EFFC026}"/>
  <tableColumns count="9">
    <tableColumn id="1" xr3:uid="{04C35377-93DB-45CB-B949-B8D9A9B8AE3C}" name="FLIGHT NO" dataDxfId="14"/>
    <tableColumn id="2" xr3:uid="{F961B12D-AC6A-479D-84BF-BEDB1BABB56B}" name="DESTINATION" dataDxfId="13"/>
    <tableColumn id="3" xr3:uid="{A100BA4E-F6EE-4AB1-925A-64F7F4CAD109}" name="STD" dataDxfId="12"/>
    <tableColumn id="4" xr3:uid="{FDEEE745-2D43-4D5F-B1C4-51AE44251DD5}" name="ATD" dataDxfId="11"/>
    <tableColumn id="5" xr3:uid="{FC1D7F81-2C8A-457F-A952-EC4D594AE6AC}" name="AIRCRAFT TYPE" dataDxfId="10"/>
    <tableColumn id="6" xr3:uid="{AC8F9747-4424-4807-AE6C-4A4918718BC2}" name="DELAY REASON" dataDxfId="9"/>
    <tableColumn id="7" xr3:uid="{7E69A65B-7C50-40FA-A2AE-08DAC1A9031A}" name="DELAY MINUTES" dataDxfId="8">
      <calculatedColumnFormula>ROUND(MAX(0,(D2-C2)*1440),0)</calculatedColumnFormula>
    </tableColumn>
    <tableColumn id="8" xr3:uid="{142F5620-DCCF-406C-B402-174F5E49A7D5}" name="DELAY CATEGORY" dataDxfId="7">
      <calculatedColumnFormula array="1">_xlfn.IFS(G2&lt;=5,"ON TIME",G2&lt;=15,"MINOR DELAY", G2&gt;15, "MAJOR DELAY")</calculatedColumnFormula>
    </tableColumn>
    <tableColumn id="9" xr3:uid="{70FF9C21-51F4-45C3-9FA6-58EA099149FB}" name="SLA STATUS" dataDxfId="6">
      <calculatedColumnFormula>IF(G2&gt;15,"BREACH","WITHIN SLA")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3DF2-1ABD-4E7F-91CE-9BE209F1EB92}">
  <dimension ref="A1:A7"/>
  <sheetViews>
    <sheetView workbookViewId="0">
      <selection activeCell="E10" sqref="E10"/>
    </sheetView>
  </sheetViews>
  <sheetFormatPr defaultRowHeight="15" x14ac:dyDescent="0.2"/>
  <sheetData>
    <row r="1" spans="1:1" x14ac:dyDescent="0.2">
      <c r="A1" t="s">
        <v>20</v>
      </c>
    </row>
    <row r="2" spans="1:1" x14ac:dyDescent="0.2">
      <c r="A2" t="s">
        <v>16</v>
      </c>
    </row>
    <row r="3" spans="1:1" x14ac:dyDescent="0.2">
      <c r="A3" t="s">
        <v>17</v>
      </c>
    </row>
    <row r="4" spans="1:1" x14ac:dyDescent="0.2">
      <c r="A4" t="s">
        <v>21</v>
      </c>
    </row>
    <row r="5" spans="1:1" x14ac:dyDescent="0.2">
      <c r="A5" t="s">
        <v>22</v>
      </c>
    </row>
    <row r="6" spans="1:1" x14ac:dyDescent="0.2">
      <c r="A6" t="s">
        <v>23</v>
      </c>
    </row>
    <row r="7" spans="1:1" x14ac:dyDescent="0.2">
      <c r="A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9CEC-1184-42F4-ABA5-5DAF3D6C9C0E}">
  <dimension ref="A1:I8"/>
  <sheetViews>
    <sheetView tabSelected="1" workbookViewId="0">
      <selection activeCell="M9" sqref="M9"/>
    </sheetView>
  </sheetViews>
  <sheetFormatPr defaultRowHeight="15" x14ac:dyDescent="0.2"/>
  <cols>
    <col min="1" max="1" width="13.1796875" bestFit="1" customWidth="1"/>
    <col min="2" max="2" width="16.0078125" bestFit="1" customWidth="1"/>
    <col min="3" max="4" width="8.875" style="1"/>
    <col min="5" max="5" width="17.484375" bestFit="1" customWidth="1"/>
    <col min="6" max="6" width="20.17578125" bestFit="1" customWidth="1"/>
    <col min="7" max="7" width="18.29296875" bestFit="1" customWidth="1"/>
    <col min="8" max="8" width="20.04296875" bestFit="1" customWidth="1"/>
    <col min="9" max="9" width="13.98828125" bestFit="1" customWidth="1"/>
  </cols>
  <sheetData>
    <row r="1" spans="1:9" x14ac:dyDescent="0.2">
      <c r="A1" s="2" t="s">
        <v>31</v>
      </c>
      <c r="B1" s="2" t="s">
        <v>30</v>
      </c>
      <c r="C1" s="3" t="s">
        <v>29</v>
      </c>
      <c r="D1" s="3" t="s">
        <v>28</v>
      </c>
      <c r="E1" s="2" t="s">
        <v>27</v>
      </c>
      <c r="F1" s="2" t="s">
        <v>26</v>
      </c>
      <c r="G1" s="2" t="s">
        <v>25</v>
      </c>
      <c r="H1" s="2" t="s">
        <v>18</v>
      </c>
      <c r="I1" s="2" t="s">
        <v>19</v>
      </c>
    </row>
    <row r="2" spans="1:9" x14ac:dyDescent="0.2">
      <c r="A2" s="4" t="s">
        <v>0</v>
      </c>
      <c r="B2" s="4" t="s">
        <v>7</v>
      </c>
      <c r="C2" s="5">
        <v>0.33333333333333331</v>
      </c>
      <c r="D2" s="5">
        <v>0.33611111111111114</v>
      </c>
      <c r="E2" s="4" t="s">
        <v>14</v>
      </c>
      <c r="F2" s="4" t="s">
        <v>16</v>
      </c>
      <c r="G2" s="4">
        <f>ROUND(MAX(0,(D2-C2)*1440),0)</f>
        <v>4</v>
      </c>
      <c r="H2" s="4" t="str" cm="1">
        <f t="array" ref="H2">_xlfn.IFS(G2&lt;=5,"ON TIME",G2&lt;=15,"MINOR DELAY", G2&gt;15, "MAJOR DELAY")</f>
        <v>ON TIME</v>
      </c>
      <c r="I2" s="4" t="str">
        <f>IF(G2&gt;15,"BREACH","WITHIN SLA")</f>
        <v>WITHIN SLA</v>
      </c>
    </row>
    <row r="3" spans="1:9" x14ac:dyDescent="0.2">
      <c r="A3" s="4" t="s">
        <v>1</v>
      </c>
      <c r="B3" s="4" t="s">
        <v>8</v>
      </c>
      <c r="C3" s="5">
        <v>0.39583333333333331</v>
      </c>
      <c r="D3" s="5">
        <v>0.40416666666666667</v>
      </c>
      <c r="E3" s="4" t="s">
        <v>15</v>
      </c>
      <c r="F3" s="4" t="s">
        <v>22</v>
      </c>
      <c r="G3" s="4">
        <f t="shared" ref="G3:G8" si="0">ROUND(MAX(0,(D3-C3)*1440),0)</f>
        <v>12</v>
      </c>
      <c r="H3" s="4" t="str" cm="1">
        <f t="array" ref="H3">_xlfn.IFS(G3&lt;=5,"ON TIME",G3&lt;=15,"MINOR DELAY", G3&gt;15, "MAJOR DELAY")</f>
        <v>MINOR DELAY</v>
      </c>
      <c r="I3" s="4" t="str">
        <f t="shared" ref="I3:I8" si="1">IF(G3&gt;15,"BREACH","WITHIN SLA")</f>
        <v>WITHIN SLA</v>
      </c>
    </row>
    <row r="4" spans="1:9" x14ac:dyDescent="0.2">
      <c r="A4" s="4" t="s">
        <v>2</v>
      </c>
      <c r="B4" s="4" t="s">
        <v>9</v>
      </c>
      <c r="C4" s="5">
        <v>0.42708333333333331</v>
      </c>
      <c r="D4" s="5">
        <v>0.44097222222222221</v>
      </c>
      <c r="E4" s="4" t="s">
        <v>14</v>
      </c>
      <c r="F4" s="4" t="s">
        <v>17</v>
      </c>
      <c r="G4" s="4">
        <f t="shared" si="0"/>
        <v>20</v>
      </c>
      <c r="H4" s="4" t="str" cm="1">
        <f t="array" ref="H4">_xlfn.IFS(G4&lt;=5,"ON TIME",G4&lt;=15,"MINOR DELAY", G4&gt;15, "MAJOR DELAY")</f>
        <v>MAJOR DELAY</v>
      </c>
      <c r="I4" s="4" t="str">
        <f t="shared" si="1"/>
        <v>BREACH</v>
      </c>
    </row>
    <row r="5" spans="1:9" x14ac:dyDescent="0.2">
      <c r="A5" s="4" t="s">
        <v>3</v>
      </c>
      <c r="B5" s="4" t="s">
        <v>10</v>
      </c>
      <c r="C5" s="5">
        <v>0.45833333333333331</v>
      </c>
      <c r="D5" s="5">
        <v>0.45833333333333331</v>
      </c>
      <c r="E5" s="4" t="s">
        <v>14</v>
      </c>
      <c r="F5" s="4" t="s">
        <v>22</v>
      </c>
      <c r="G5" s="4">
        <f t="shared" si="0"/>
        <v>0</v>
      </c>
      <c r="H5" s="4" t="str" cm="1">
        <f t="array" ref="H5">_xlfn.IFS(G5&lt;=5,"ON TIME",G5&lt;=15,"MINOR DELAY", G5&gt;15, "MAJOR DELAY")</f>
        <v>ON TIME</v>
      </c>
      <c r="I5" s="4" t="str">
        <f t="shared" si="1"/>
        <v>WITHIN SLA</v>
      </c>
    </row>
    <row r="6" spans="1:9" x14ac:dyDescent="0.2">
      <c r="A6" s="4" t="s">
        <v>4</v>
      </c>
      <c r="B6" s="4" t="s">
        <v>11</v>
      </c>
      <c r="C6" s="5">
        <v>0.53125</v>
      </c>
      <c r="D6" s="5">
        <v>0.54861111111111116</v>
      </c>
      <c r="E6" s="4" t="s">
        <v>15</v>
      </c>
      <c r="F6" s="4" t="s">
        <v>22</v>
      </c>
      <c r="G6" s="4">
        <f t="shared" si="0"/>
        <v>25</v>
      </c>
      <c r="H6" s="4" t="str" cm="1">
        <f t="array" ref="H6">_xlfn.IFS(G6&lt;=5,"ON TIME",G6&lt;=15,"MINOR DELAY", G6&gt;15, "MAJOR DELAY")</f>
        <v>MAJOR DELAY</v>
      </c>
      <c r="I6" s="4" t="str">
        <f t="shared" si="1"/>
        <v>BREACH</v>
      </c>
    </row>
    <row r="7" spans="1:9" x14ac:dyDescent="0.2">
      <c r="A7" s="4" t="s">
        <v>5</v>
      </c>
      <c r="B7" s="4" t="s">
        <v>12</v>
      </c>
      <c r="C7" s="5">
        <v>0.59722222222222221</v>
      </c>
      <c r="D7" s="5">
        <v>0.60277777777777775</v>
      </c>
      <c r="E7" s="4" t="s">
        <v>15</v>
      </c>
      <c r="F7" s="4" t="s">
        <v>17</v>
      </c>
      <c r="G7" s="4">
        <f t="shared" si="0"/>
        <v>8</v>
      </c>
      <c r="H7" s="4" t="str" cm="1">
        <f t="array" ref="H7">_xlfn.IFS(G7&lt;=5,"ON TIME",G7&lt;=15,"MINOR DELAY", G7&gt;15, "MAJOR DELAY")</f>
        <v>MINOR DELAY</v>
      </c>
      <c r="I7" s="4" t="str">
        <f t="shared" si="1"/>
        <v>WITHIN SLA</v>
      </c>
    </row>
    <row r="8" spans="1:9" x14ac:dyDescent="0.2">
      <c r="A8" s="4" t="s">
        <v>6</v>
      </c>
      <c r="B8" s="4" t="s">
        <v>13</v>
      </c>
      <c r="C8" s="5">
        <v>0.64583333333333337</v>
      </c>
      <c r="D8" s="5">
        <v>0.66319444444444442</v>
      </c>
      <c r="E8" s="4" t="s">
        <v>14</v>
      </c>
      <c r="F8" s="4" t="s">
        <v>22</v>
      </c>
      <c r="G8" s="4">
        <f t="shared" si="0"/>
        <v>25</v>
      </c>
      <c r="H8" s="4" t="str" cm="1">
        <f t="array" ref="H8">_xlfn.IFS(G8&lt;=5,"ON TIME",G8&lt;=15,"MINOR DELAY", G8&gt;15, "MAJOR DELAY")</f>
        <v>MAJOR DELAY</v>
      </c>
      <c r="I8" s="4" t="str">
        <f t="shared" si="1"/>
        <v>BREACH</v>
      </c>
    </row>
  </sheetData>
  <conditionalFormatting sqref="H2:H8">
    <cfRule type="containsText" dxfId="5" priority="4" operator="containsText" text="major delay">
      <formula>NOT(ISERROR(SEARCH("major delay",H2)))</formula>
    </cfRule>
    <cfRule type="containsText" dxfId="4" priority="5" operator="containsText" text="major ddelay">
      <formula>NOT(ISERROR(SEARCH("major ddelay",H2)))</formula>
    </cfRule>
    <cfRule type="containsText" dxfId="3" priority="6" operator="containsText" text="minor delay">
      <formula>NOT(ISERROR(SEARCH("minor delay",H2)))</formula>
    </cfRule>
    <cfRule type="containsText" dxfId="2" priority="7" operator="containsText" text="on time">
      <formula>NOT(ISERROR(SEARCH("on time",H2)))</formula>
    </cfRule>
  </conditionalFormatting>
  <conditionalFormatting sqref="I2:I8">
    <cfRule type="containsText" dxfId="1" priority="1" operator="containsText" text="within sla">
      <formula>NOT(ISERROR(SEARCH("within sla",I2)))</formula>
    </cfRule>
    <cfRule type="containsText" dxfId="0" priority="2" operator="containsText" text="breach">
      <formula>NOT(ISERROR(SEARCH("breach",I2)))</formula>
    </cfRule>
  </conditionalFormatting>
  <dataValidations count="1">
    <dataValidation type="list" allowBlank="1" showInputMessage="1" showErrorMessage="1" sqref="F2:F8" xr:uid="{2CB53F7B-578D-42FE-8B7A-6B5062388669}">
      <formula1>DelayReasons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</vt:lpstr>
      <vt:lpstr>RAW DATA</vt:lpstr>
      <vt:lpstr>DelayReasons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shaffi dhas</dc:creator>
  <cp:lastModifiedBy>shaffi dhas</cp:lastModifiedBy>
  <dcterms:created xsi:type="dcterms:W3CDTF">2026-01-11T12:06:48Z</dcterms:created>
  <dcterms:modified xsi:type="dcterms:W3CDTF">2026-01-11T15:21:22Z</dcterms:modified>
</cp:coreProperties>
</file>